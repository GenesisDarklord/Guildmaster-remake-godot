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3" i="1" l="1"/>
  <c r="E4" i="1"/>
  <c r="I4" i="1" s="1"/>
  <c r="M4" i="1" s="1"/>
  <c r="N4" i="1" s="1"/>
  <c r="E5" i="1"/>
  <c r="E6" i="1"/>
  <c r="E7" i="1"/>
  <c r="E8" i="1"/>
  <c r="I8" i="1" s="1"/>
  <c r="M8" i="1" s="1"/>
  <c r="E9" i="1"/>
  <c r="E10" i="1"/>
  <c r="E11" i="1"/>
  <c r="E12" i="1"/>
  <c r="I12" i="1" s="1"/>
  <c r="M12" i="1" s="1"/>
  <c r="N12" i="1" s="1"/>
  <c r="E13" i="1"/>
  <c r="E14" i="1"/>
  <c r="E15" i="1"/>
  <c r="E16" i="1"/>
  <c r="I16" i="1" s="1"/>
  <c r="M16" i="1" s="1"/>
  <c r="N16" i="1" s="1"/>
  <c r="E17" i="1"/>
  <c r="E18" i="1"/>
  <c r="E19" i="1"/>
  <c r="E20" i="1"/>
  <c r="I20" i="1" s="1"/>
  <c r="M20" i="1" s="1"/>
  <c r="E21" i="1"/>
  <c r="E2" i="1"/>
  <c r="I2" i="1" s="1"/>
  <c r="M2" i="1" s="1"/>
  <c r="N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H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3" i="1"/>
  <c r="M3" i="1" s="1"/>
  <c r="N3" i="1" s="1"/>
  <c r="I5" i="1"/>
  <c r="I6" i="1"/>
  <c r="I7" i="1"/>
  <c r="M7" i="1" s="1"/>
  <c r="N7" i="1" s="1"/>
  <c r="I9" i="1"/>
  <c r="I10" i="1"/>
  <c r="I11" i="1"/>
  <c r="M11" i="1" s="1"/>
  <c r="N11" i="1" s="1"/>
  <c r="I13" i="1"/>
  <c r="I14" i="1"/>
  <c r="I15" i="1"/>
  <c r="M15" i="1" s="1"/>
  <c r="N15" i="1" s="1"/>
  <c r="I17" i="1"/>
  <c r="I18" i="1"/>
  <c r="M18" i="1" s="1"/>
  <c r="I19" i="1"/>
  <c r="M19" i="1" s="1"/>
  <c r="N19" i="1" s="1"/>
  <c r="I21" i="1"/>
  <c r="H3" i="1"/>
  <c r="C3" i="1"/>
  <c r="G3" i="1" s="1"/>
  <c r="C2" i="1"/>
  <c r="F2" i="1" s="1"/>
  <c r="H21" i="1"/>
  <c r="N18" i="1" l="1"/>
  <c r="M14" i="1"/>
  <c r="N14" i="1" s="1"/>
  <c r="M10" i="1"/>
  <c r="N10" i="1" s="1"/>
  <c r="M6" i="1"/>
  <c r="N20" i="1"/>
  <c r="N8" i="1"/>
  <c r="M9" i="1"/>
  <c r="N6" i="1"/>
  <c r="N9" i="1"/>
  <c r="M5" i="1"/>
  <c r="N5" i="1" s="1"/>
  <c r="M21" i="1"/>
  <c r="N21" i="1" s="1"/>
  <c r="M17" i="1"/>
  <c r="N17" i="1" s="1"/>
  <c r="M13" i="1"/>
  <c r="N13" i="1" s="1"/>
  <c r="G2" i="1"/>
  <c r="C20" i="1"/>
  <c r="G20" i="1" s="1"/>
  <c r="C16" i="1"/>
  <c r="G16" i="1" s="1"/>
  <c r="C12" i="1"/>
  <c r="G12" i="1" s="1"/>
  <c r="C8" i="1"/>
  <c r="G8" i="1" s="1"/>
  <c r="C4" i="1"/>
  <c r="G4" i="1" s="1"/>
  <c r="H20" i="1"/>
  <c r="H16" i="1"/>
  <c r="H12" i="1"/>
  <c r="H8" i="1"/>
  <c r="H4" i="1"/>
  <c r="C19" i="1"/>
  <c r="G19" i="1" s="1"/>
  <c r="C15" i="1"/>
  <c r="G15" i="1" s="1"/>
  <c r="C11" i="1"/>
  <c r="G11" i="1" s="1"/>
  <c r="C7" i="1"/>
  <c r="G7" i="1" s="1"/>
  <c r="H19" i="1"/>
  <c r="H11" i="1"/>
  <c r="C14" i="1"/>
  <c r="G14" i="1" s="1"/>
  <c r="C6" i="1"/>
  <c r="G6" i="1" s="1"/>
  <c r="H18" i="1"/>
  <c r="H14" i="1"/>
  <c r="H10" i="1"/>
  <c r="H6" i="1"/>
  <c r="H15" i="1"/>
  <c r="H7" i="1"/>
  <c r="C18" i="1"/>
  <c r="G18" i="1" s="1"/>
  <c r="C10" i="1"/>
  <c r="G10" i="1" s="1"/>
  <c r="C21" i="1"/>
  <c r="G21" i="1" s="1"/>
  <c r="C17" i="1"/>
  <c r="G17" i="1" s="1"/>
  <c r="C13" i="1"/>
  <c r="G13" i="1" s="1"/>
  <c r="C9" i="1"/>
  <c r="G9" i="1" s="1"/>
  <c r="C5" i="1"/>
  <c r="G5" i="1" s="1"/>
  <c r="H17" i="1"/>
  <c r="H13" i="1"/>
  <c r="H9" i="1"/>
  <c r="H5" i="1"/>
  <c r="F3" i="1"/>
  <c r="F4" i="1" l="1"/>
  <c r="F5" i="1"/>
  <c r="F6" i="1" l="1"/>
  <c r="F7" i="1" l="1"/>
  <c r="F8" i="1" l="1"/>
  <c r="F9" i="1" l="1"/>
  <c r="F10" i="1" l="1"/>
  <c r="F11" i="1" l="1"/>
  <c r="F12" i="1" l="1"/>
  <c r="F13" i="1" l="1"/>
  <c r="F14" i="1" l="1"/>
  <c r="F15" i="1"/>
  <c r="F16" i="1" l="1"/>
  <c r="F17" i="1" l="1"/>
  <c r="F18" i="1" l="1"/>
  <c r="F19" i="1" l="1"/>
  <c r="F20" i="1" l="1"/>
  <c r="F21" i="1" l="1"/>
</calcChain>
</file>

<file path=xl/sharedStrings.xml><?xml version="1.0" encoding="utf-8"?>
<sst xmlns="http://schemas.openxmlformats.org/spreadsheetml/2006/main" count="33" uniqueCount="33">
  <si>
    <t>Rango</t>
  </si>
  <si>
    <t>Estandar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</si>
  <si>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</si>
  <si>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</si>
  <si>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</si>
  <si>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</si>
  <si>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</si>
  <si>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</si>
  <si>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</si>
  <si>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</si>
  <si>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</si>
  <si>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</si>
  <si>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</si>
  <si>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</si>
  <si>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</si>
  <si>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</si>
  <si>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</si>
  <si>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</si>
  <si>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</si>
  <si>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</si>
  <si>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</si>
  <si>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</si>
  <si>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Mult.STR</t>
  </si>
  <si>
    <t>Mult.DEX</t>
  </si>
  <si>
    <t>Mult.WIS</t>
  </si>
  <si>
    <t>HP</t>
  </si>
  <si>
    <t>ATK</t>
  </si>
  <si>
    <t>DEF</t>
  </si>
  <si>
    <t>LCK</t>
  </si>
  <si>
    <t>Rareza</t>
  </si>
  <si>
    <t>Total_Rating</t>
  </si>
  <si>
    <t>Rating_Base</t>
  </si>
  <si>
    <t>LCKxRating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</si>
</sst>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C12" sqref="C12:I21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K1" t="s">
        <v>29</v>
      </c>
      <c r="L1" t="s">
        <v>31</v>
      </c>
      <c r="M1" t="s">
        <v>32</v>
      </c>
      <c r="N1" t="s">
        <v>30</v>
      </c>
    </row>
    <row r="2" spans="1:14" x14ac:dyDescent="0.25">
      <c r="A2" s="1" t="s">
        <v>2</v>
      </c>
      <c r="B2">
        <v>14</v>
      </c>
      <c r="C2" s="2">
        <f>SUM(B2*0.4)*A2</f>
        <v>5.6000000000000005</v>
      </c>
      <c r="D2" s="2">
        <f>SUM(B2*0.4)*A2</f>
        <v>5.6000000000000005</v>
      </c>
      <c r="E2" s="2">
        <f>SUM(B2*0.4)*A2</f>
        <v>5.6000000000000005</v>
      </c>
      <c r="F2" s="2">
        <f>SUM(B2*C2*A2)</f>
        <v>78.400000000000006</v>
      </c>
      <c r="G2" s="2">
        <f>SUM(C2*A2)</f>
        <v>5.6000000000000005</v>
      </c>
      <c r="H2" s="2">
        <f>SUM(D2*A2)</f>
        <v>5.6000000000000005</v>
      </c>
      <c r="I2" s="2">
        <f>SUM(E2*A2)</f>
        <v>5.6000000000000005</v>
      </c>
      <c r="K2">
        <v>1</v>
      </c>
      <c r="L2" s="2">
        <f>SUM(100*0.6)/K2</f>
        <v>60</v>
      </c>
      <c r="M2" s="2">
        <f>SUM(I2*L2)/100</f>
        <v>3.3600000000000008</v>
      </c>
      <c r="N2" s="2">
        <f>SUM(L2+M2)</f>
        <v>63.36</v>
      </c>
    </row>
    <row r="3" spans="1:14" x14ac:dyDescent="0.25">
      <c r="A3" s="1" t="s">
        <v>3</v>
      </c>
      <c r="B3">
        <v>14</v>
      </c>
      <c r="C3" s="2">
        <f t="shared" ref="C3:C21" si="0">SUM(B3*0.4)*A3</f>
        <v>11.200000000000001</v>
      </c>
      <c r="D3" s="2">
        <f t="shared" ref="D3:D21" si="1">SUM(B3*0.4)*A3</f>
        <v>11.200000000000001</v>
      </c>
      <c r="E3" s="2">
        <f t="shared" ref="E3:E21" si="2">SUM(B3*0.4)*A3</f>
        <v>11.200000000000001</v>
      </c>
      <c r="F3" s="2">
        <f t="shared" ref="F3:F20" si="3">SUM(B3*C3*A3)</f>
        <v>313.60000000000002</v>
      </c>
      <c r="G3" s="2">
        <f t="shared" ref="G3:G21" si="4">SUM(C3*A3)</f>
        <v>22.400000000000002</v>
      </c>
      <c r="H3" s="2">
        <f>SUM(D3*A3)</f>
        <v>22.400000000000002</v>
      </c>
      <c r="I3" s="2">
        <f t="shared" ref="I3:I21" si="5">SUM(E3*A3)</f>
        <v>22.400000000000002</v>
      </c>
      <c r="K3">
        <v>2</v>
      </c>
      <c r="L3" s="2">
        <f t="shared" ref="L3:L21" si="6">SUM(100*0.6)/K3</f>
        <v>30</v>
      </c>
      <c r="M3" s="2">
        <f t="shared" ref="M3:M21" si="7">SUM(I3*L3)/100</f>
        <v>6.7200000000000015</v>
      </c>
      <c r="N3" s="2">
        <f t="shared" ref="N3:N21" si="8">SUM(L3+M3)</f>
        <v>36.72</v>
      </c>
    </row>
    <row r="4" spans="1:14" x14ac:dyDescent="0.25">
      <c r="A4" s="1" t="s">
        <v>4</v>
      </c>
      <c r="B4">
        <v>14</v>
      </c>
      <c r="C4" s="2">
        <f t="shared" si="0"/>
        <v>16.8</v>
      </c>
      <c r="D4" s="2">
        <f t="shared" si="1"/>
        <v>16.8</v>
      </c>
      <c r="E4" s="2">
        <f t="shared" si="2"/>
        <v>16.8</v>
      </c>
      <c r="F4" s="2">
        <f t="shared" si="3"/>
        <v>705.6</v>
      </c>
      <c r="G4" s="2">
        <f t="shared" si="4"/>
        <v>50.400000000000006</v>
      </c>
      <c r="H4" s="2">
        <f>SUM(D4*A4)</f>
        <v>50.400000000000006</v>
      </c>
      <c r="I4" s="2">
        <f t="shared" si="5"/>
        <v>50.400000000000006</v>
      </c>
      <c r="K4">
        <v>3</v>
      </c>
      <c r="L4" s="2">
        <f t="shared" si="6"/>
        <v>20</v>
      </c>
      <c r="M4" s="2">
        <f t="shared" si="7"/>
        <v>10.080000000000002</v>
      </c>
      <c r="N4" s="2">
        <f t="shared" si="8"/>
        <v>30.080000000000002</v>
      </c>
    </row>
    <row r="5" spans="1:14" x14ac:dyDescent="0.25">
      <c r="A5" s="1" t="s">
        <v>5</v>
      </c>
      <c r="B5">
        <v>14</v>
      </c>
      <c r="C5" s="2">
        <f t="shared" si="0"/>
        <v>22.400000000000002</v>
      </c>
      <c r="D5" s="2">
        <f t="shared" si="1"/>
        <v>22.400000000000002</v>
      </c>
      <c r="E5" s="2">
        <f t="shared" si="2"/>
        <v>22.400000000000002</v>
      </c>
      <c r="F5" s="2">
        <f t="shared" si="3"/>
        <v>1254.4000000000001</v>
      </c>
      <c r="G5" s="2">
        <f t="shared" si="4"/>
        <v>89.600000000000009</v>
      </c>
      <c r="H5" s="2">
        <f>SUM(D5*A5)</f>
        <v>89.600000000000009</v>
      </c>
      <c r="I5" s="2">
        <f t="shared" si="5"/>
        <v>89.600000000000009</v>
      </c>
      <c r="K5">
        <v>4</v>
      </c>
      <c r="L5" s="2">
        <f t="shared" si="6"/>
        <v>15</v>
      </c>
      <c r="M5" s="2">
        <f t="shared" si="7"/>
        <v>13.440000000000003</v>
      </c>
      <c r="N5" s="2">
        <f t="shared" si="8"/>
        <v>28.440000000000005</v>
      </c>
    </row>
    <row r="6" spans="1:14" x14ac:dyDescent="0.25">
      <c r="A6" s="1" t="s">
        <v>6</v>
      </c>
      <c r="B6">
        <v>14</v>
      </c>
      <c r="C6" s="2">
        <f t="shared" si="0"/>
        <v>28.000000000000004</v>
      </c>
      <c r="D6" s="2">
        <f t="shared" si="1"/>
        <v>28.000000000000004</v>
      </c>
      <c r="E6" s="2">
        <f t="shared" si="2"/>
        <v>28.000000000000004</v>
      </c>
      <c r="F6" s="2">
        <f t="shared" si="3"/>
        <v>1960.0000000000002</v>
      </c>
      <c r="G6" s="2">
        <f t="shared" si="4"/>
        <v>140.00000000000003</v>
      </c>
      <c r="H6" s="2">
        <f>SUM(D6*A6)</f>
        <v>140.00000000000003</v>
      </c>
      <c r="I6" s="2">
        <f t="shared" si="5"/>
        <v>140.00000000000003</v>
      </c>
      <c r="K6">
        <v>5</v>
      </c>
      <c r="L6" s="2">
        <f t="shared" si="6"/>
        <v>12</v>
      </c>
      <c r="M6" s="2">
        <f t="shared" si="7"/>
        <v>16.800000000000004</v>
      </c>
      <c r="N6" s="2">
        <f t="shared" si="8"/>
        <v>28.800000000000004</v>
      </c>
    </row>
    <row r="7" spans="1:14" x14ac:dyDescent="0.25">
      <c r="A7" s="1" t="s">
        <v>7</v>
      </c>
      <c r="B7">
        <v>14</v>
      </c>
      <c r="C7" s="2">
        <f t="shared" si="0"/>
        <v>33.6</v>
      </c>
      <c r="D7" s="2">
        <f t="shared" si="1"/>
        <v>33.6</v>
      </c>
      <c r="E7" s="2">
        <f t="shared" si="2"/>
        <v>33.6</v>
      </c>
      <c r="F7" s="2">
        <f t="shared" si="3"/>
        <v>2822.4</v>
      </c>
      <c r="G7" s="2">
        <f t="shared" si="4"/>
        <v>201.60000000000002</v>
      </c>
      <c r="H7" s="2">
        <f>SUM(D7*A7)</f>
        <v>201.60000000000002</v>
      </c>
      <c r="I7" s="2">
        <f t="shared" si="5"/>
        <v>201.60000000000002</v>
      </c>
      <c r="K7">
        <v>6</v>
      </c>
      <c r="L7" s="2">
        <f t="shared" si="6"/>
        <v>10</v>
      </c>
      <c r="M7" s="2">
        <f t="shared" si="7"/>
        <v>20.160000000000004</v>
      </c>
      <c r="N7" s="2">
        <f t="shared" si="8"/>
        <v>30.160000000000004</v>
      </c>
    </row>
    <row r="8" spans="1:14" x14ac:dyDescent="0.25">
      <c r="A8" s="1" t="s">
        <v>8</v>
      </c>
      <c r="B8">
        <v>14</v>
      </c>
      <c r="C8" s="2">
        <f t="shared" si="0"/>
        <v>39.200000000000003</v>
      </c>
      <c r="D8" s="2">
        <f t="shared" si="1"/>
        <v>39.200000000000003</v>
      </c>
      <c r="E8" s="2">
        <f t="shared" si="2"/>
        <v>39.200000000000003</v>
      </c>
      <c r="F8" s="2">
        <f t="shared" si="3"/>
        <v>3841.6000000000004</v>
      </c>
      <c r="G8" s="2">
        <f t="shared" si="4"/>
        <v>274.40000000000003</v>
      </c>
      <c r="H8" s="2">
        <f>SUM(D8*A8)</f>
        <v>274.40000000000003</v>
      </c>
      <c r="I8" s="2">
        <f t="shared" si="5"/>
        <v>274.40000000000003</v>
      </c>
      <c r="K8">
        <v>7</v>
      </c>
      <c r="L8" s="2">
        <f t="shared" si="6"/>
        <v>8.5714285714285712</v>
      </c>
      <c r="M8" s="2">
        <f t="shared" si="7"/>
        <v>23.52</v>
      </c>
      <c r="N8" s="2">
        <f t="shared" si="8"/>
        <v>32.091428571428573</v>
      </c>
    </row>
    <row r="9" spans="1:14" x14ac:dyDescent="0.25">
      <c r="A9" s="1" t="s">
        <v>9</v>
      </c>
      <c r="B9">
        <v>14</v>
      </c>
      <c r="C9" s="2">
        <f t="shared" si="0"/>
        <v>44.800000000000004</v>
      </c>
      <c r="D9" s="2">
        <f t="shared" si="1"/>
        <v>44.800000000000004</v>
      </c>
      <c r="E9" s="2">
        <f t="shared" si="2"/>
        <v>44.800000000000004</v>
      </c>
      <c r="F9" s="2">
        <f t="shared" si="3"/>
        <v>5017.6000000000004</v>
      </c>
      <c r="G9" s="2">
        <f t="shared" si="4"/>
        <v>358.40000000000003</v>
      </c>
      <c r="H9" s="2">
        <f>SUM(D9*A9)</f>
        <v>358.40000000000003</v>
      </c>
      <c r="I9" s="2">
        <f t="shared" si="5"/>
        <v>358.40000000000003</v>
      </c>
      <c r="K9">
        <v>8</v>
      </c>
      <c r="L9" s="2">
        <f t="shared" si="6"/>
        <v>7.5</v>
      </c>
      <c r="M9" s="2">
        <f t="shared" si="7"/>
        <v>26.880000000000006</v>
      </c>
      <c r="N9" s="2">
        <f t="shared" si="8"/>
        <v>34.38000000000001</v>
      </c>
    </row>
    <row r="10" spans="1:14" x14ac:dyDescent="0.25">
      <c r="A10" s="1" t="s">
        <v>10</v>
      </c>
      <c r="B10">
        <v>14</v>
      </c>
      <c r="C10" s="2">
        <f t="shared" si="0"/>
        <v>50.400000000000006</v>
      </c>
      <c r="D10" s="2">
        <f t="shared" si="1"/>
        <v>50.400000000000006</v>
      </c>
      <c r="E10" s="2">
        <f t="shared" si="2"/>
        <v>50.400000000000006</v>
      </c>
      <c r="F10" s="2">
        <f t="shared" si="3"/>
        <v>6350.4000000000015</v>
      </c>
      <c r="G10" s="2">
        <f t="shared" si="4"/>
        <v>453.6</v>
      </c>
      <c r="H10" s="2">
        <f>SUM(D10*A10)</f>
        <v>453.6</v>
      </c>
      <c r="I10" s="2">
        <f t="shared" si="5"/>
        <v>453.6</v>
      </c>
      <c r="K10">
        <v>9</v>
      </c>
      <c r="L10" s="2">
        <f t="shared" si="6"/>
        <v>6.666666666666667</v>
      </c>
      <c r="M10" s="2">
        <f t="shared" si="7"/>
        <v>30.240000000000006</v>
      </c>
      <c r="N10" s="2">
        <f t="shared" si="8"/>
        <v>36.906666666666673</v>
      </c>
    </row>
    <row r="11" spans="1:14" x14ac:dyDescent="0.25">
      <c r="A11" s="1" t="s">
        <v>11</v>
      </c>
      <c r="B11">
        <v>14</v>
      </c>
      <c r="C11" s="2">
        <f t="shared" si="0"/>
        <v>56.000000000000007</v>
      </c>
      <c r="D11" s="2">
        <f t="shared" si="1"/>
        <v>56.000000000000007</v>
      </c>
      <c r="E11" s="2">
        <f t="shared" si="2"/>
        <v>56.000000000000007</v>
      </c>
      <c r="F11" s="2">
        <f t="shared" si="3"/>
        <v>7840.0000000000009</v>
      </c>
      <c r="G11" s="2">
        <f t="shared" si="4"/>
        <v>560.00000000000011</v>
      </c>
      <c r="H11" s="2">
        <f>SUM(D11*A11)</f>
        <v>560.00000000000011</v>
      </c>
      <c r="I11" s="2">
        <f t="shared" si="5"/>
        <v>560.00000000000011</v>
      </c>
      <c r="K11">
        <v>10</v>
      </c>
      <c r="L11" s="2">
        <f t="shared" si="6"/>
        <v>6</v>
      </c>
      <c r="M11" s="2">
        <f t="shared" si="7"/>
        <v>33.600000000000009</v>
      </c>
      <c r="N11" s="2">
        <f t="shared" si="8"/>
        <v>39.600000000000009</v>
      </c>
    </row>
    <row r="12" spans="1:14" x14ac:dyDescent="0.25">
      <c r="A12" s="1" t="s">
        <v>12</v>
      </c>
      <c r="B12">
        <v>14</v>
      </c>
      <c r="C12" s="2">
        <f t="shared" si="0"/>
        <v>61.600000000000009</v>
      </c>
      <c r="D12" s="2">
        <f t="shared" si="1"/>
        <v>61.600000000000009</v>
      </c>
      <c r="E12" s="2">
        <f t="shared" si="2"/>
        <v>61.600000000000009</v>
      </c>
      <c r="F12" s="2">
        <f t="shared" si="3"/>
        <v>9486.4000000000015</v>
      </c>
      <c r="G12" s="2">
        <f t="shared" si="4"/>
        <v>677.60000000000014</v>
      </c>
      <c r="H12" s="2">
        <f>SUM(D12*A12)</f>
        <v>677.60000000000014</v>
      </c>
      <c r="I12" s="2">
        <f t="shared" si="5"/>
        <v>677.60000000000014</v>
      </c>
      <c r="K12">
        <v>10</v>
      </c>
      <c r="L12" s="2">
        <f t="shared" si="6"/>
        <v>6</v>
      </c>
      <c r="M12" s="2">
        <f t="shared" si="7"/>
        <v>40.656000000000006</v>
      </c>
      <c r="N12" s="2">
        <f t="shared" si="8"/>
        <v>46.656000000000006</v>
      </c>
    </row>
    <row r="13" spans="1:14" x14ac:dyDescent="0.25">
      <c r="A13" s="1" t="s">
        <v>13</v>
      </c>
      <c r="B13">
        <v>14</v>
      </c>
      <c r="C13" s="2">
        <f t="shared" si="0"/>
        <v>67.2</v>
      </c>
      <c r="D13" s="2">
        <f t="shared" si="1"/>
        <v>67.2</v>
      </c>
      <c r="E13" s="2">
        <f t="shared" si="2"/>
        <v>67.2</v>
      </c>
      <c r="F13" s="2">
        <f t="shared" si="3"/>
        <v>11289.6</v>
      </c>
      <c r="G13" s="2">
        <f t="shared" si="4"/>
        <v>806.40000000000009</v>
      </c>
      <c r="H13" s="2">
        <f>SUM(D13*A13)</f>
        <v>806.40000000000009</v>
      </c>
      <c r="I13" s="2">
        <f t="shared" si="5"/>
        <v>806.40000000000009</v>
      </c>
      <c r="K13">
        <v>10</v>
      </c>
      <c r="L13" s="2">
        <f t="shared" si="6"/>
        <v>6</v>
      </c>
      <c r="M13" s="2">
        <f t="shared" si="7"/>
        <v>48.384000000000007</v>
      </c>
      <c r="N13" s="2">
        <f t="shared" si="8"/>
        <v>54.384000000000007</v>
      </c>
    </row>
    <row r="14" spans="1:14" x14ac:dyDescent="0.25">
      <c r="A14" s="1" t="s">
        <v>14</v>
      </c>
      <c r="B14">
        <v>14</v>
      </c>
      <c r="C14" s="2">
        <f t="shared" si="0"/>
        <v>72.800000000000011</v>
      </c>
      <c r="D14" s="2">
        <f t="shared" si="1"/>
        <v>72.800000000000011</v>
      </c>
      <c r="E14" s="2">
        <f t="shared" si="2"/>
        <v>72.800000000000011</v>
      </c>
      <c r="F14" s="2">
        <f t="shared" si="3"/>
        <v>13249.600000000002</v>
      </c>
      <c r="G14" s="2">
        <f t="shared" si="4"/>
        <v>946.40000000000009</v>
      </c>
      <c r="H14" s="2">
        <f>SUM(D14*A14)</f>
        <v>946.40000000000009</v>
      </c>
      <c r="I14" s="2">
        <f t="shared" si="5"/>
        <v>946.40000000000009</v>
      </c>
      <c r="K14">
        <v>10</v>
      </c>
      <c r="L14" s="2">
        <f t="shared" si="6"/>
        <v>6</v>
      </c>
      <c r="M14" s="2">
        <f t="shared" si="7"/>
        <v>56.784000000000006</v>
      </c>
      <c r="N14" s="2">
        <f t="shared" si="8"/>
        <v>62.784000000000006</v>
      </c>
    </row>
    <row r="15" spans="1:14" x14ac:dyDescent="0.25">
      <c r="A15" s="1" t="s">
        <v>15</v>
      </c>
      <c r="B15">
        <v>14</v>
      </c>
      <c r="C15" s="2">
        <f t="shared" si="0"/>
        <v>78.400000000000006</v>
      </c>
      <c r="D15" s="2">
        <f t="shared" si="1"/>
        <v>78.400000000000006</v>
      </c>
      <c r="E15" s="2">
        <f t="shared" si="2"/>
        <v>78.400000000000006</v>
      </c>
      <c r="F15" s="2">
        <f t="shared" si="3"/>
        <v>15366.400000000001</v>
      </c>
      <c r="G15" s="2">
        <f t="shared" si="4"/>
        <v>1097.6000000000001</v>
      </c>
      <c r="H15" s="2">
        <f>SUM(D15*A15)</f>
        <v>1097.6000000000001</v>
      </c>
      <c r="I15" s="2">
        <f t="shared" si="5"/>
        <v>1097.6000000000001</v>
      </c>
      <c r="K15">
        <v>10</v>
      </c>
      <c r="L15" s="2">
        <f t="shared" si="6"/>
        <v>6</v>
      </c>
      <c r="M15" s="2">
        <f t="shared" si="7"/>
        <v>65.856000000000009</v>
      </c>
      <c r="N15" s="2">
        <f t="shared" si="8"/>
        <v>71.856000000000009</v>
      </c>
    </row>
    <row r="16" spans="1:14" x14ac:dyDescent="0.25">
      <c r="A16" s="1" t="s">
        <v>16</v>
      </c>
      <c r="B16">
        <v>14</v>
      </c>
      <c r="C16" s="2">
        <f t="shared" si="0"/>
        <v>84.000000000000014</v>
      </c>
      <c r="D16" s="2">
        <f t="shared" si="1"/>
        <v>84.000000000000014</v>
      </c>
      <c r="E16" s="2">
        <f t="shared" si="2"/>
        <v>84.000000000000014</v>
      </c>
      <c r="F16" s="2">
        <f t="shared" si="3"/>
        <v>17640.000000000004</v>
      </c>
      <c r="G16" s="2">
        <f t="shared" si="4"/>
        <v>1260.0000000000002</v>
      </c>
      <c r="H16" s="2">
        <f>SUM(D16*A16)</f>
        <v>1260.0000000000002</v>
      </c>
      <c r="I16" s="2">
        <f t="shared" si="5"/>
        <v>1260.0000000000002</v>
      </c>
      <c r="K16">
        <v>10</v>
      </c>
      <c r="L16" s="2">
        <f t="shared" si="6"/>
        <v>6</v>
      </c>
      <c r="M16" s="2">
        <f t="shared" si="7"/>
        <v>75.600000000000023</v>
      </c>
      <c r="N16" s="2">
        <f t="shared" si="8"/>
        <v>81.600000000000023</v>
      </c>
    </row>
    <row r="17" spans="1:14" x14ac:dyDescent="0.25">
      <c r="A17" s="1" t="s">
        <v>17</v>
      </c>
      <c r="B17">
        <v>14</v>
      </c>
      <c r="C17" s="2">
        <f t="shared" si="0"/>
        <v>89.600000000000009</v>
      </c>
      <c r="D17" s="2">
        <f t="shared" si="1"/>
        <v>89.600000000000009</v>
      </c>
      <c r="E17" s="2">
        <f t="shared" si="2"/>
        <v>89.600000000000009</v>
      </c>
      <c r="F17" s="2">
        <f t="shared" si="3"/>
        <v>20070.400000000001</v>
      </c>
      <c r="G17" s="2">
        <f t="shared" si="4"/>
        <v>1433.6000000000001</v>
      </c>
      <c r="H17" s="2">
        <f>SUM(D17*A17)</f>
        <v>1433.6000000000001</v>
      </c>
      <c r="I17" s="2">
        <f t="shared" si="5"/>
        <v>1433.6000000000001</v>
      </c>
      <c r="K17">
        <v>10</v>
      </c>
      <c r="L17" s="2">
        <f t="shared" si="6"/>
        <v>6</v>
      </c>
      <c r="M17" s="2">
        <f t="shared" si="7"/>
        <v>86.016000000000005</v>
      </c>
      <c r="N17" s="2">
        <f t="shared" si="8"/>
        <v>92.016000000000005</v>
      </c>
    </row>
    <row r="18" spans="1:14" x14ac:dyDescent="0.25">
      <c r="A18" s="1" t="s">
        <v>18</v>
      </c>
      <c r="B18">
        <v>14</v>
      </c>
      <c r="C18" s="2">
        <f t="shared" si="0"/>
        <v>95.2</v>
      </c>
      <c r="D18" s="2">
        <f t="shared" si="1"/>
        <v>95.2</v>
      </c>
      <c r="E18" s="2">
        <f t="shared" si="2"/>
        <v>95.2</v>
      </c>
      <c r="F18" s="2">
        <f t="shared" si="3"/>
        <v>22657.599999999999</v>
      </c>
      <c r="G18" s="2">
        <f t="shared" si="4"/>
        <v>1618.4</v>
      </c>
      <c r="H18" s="2">
        <f>SUM(D18*A18)</f>
        <v>1618.4</v>
      </c>
      <c r="I18" s="2">
        <f t="shared" si="5"/>
        <v>1618.4</v>
      </c>
      <c r="K18">
        <v>10</v>
      </c>
      <c r="L18" s="2">
        <f t="shared" si="6"/>
        <v>6</v>
      </c>
      <c r="M18" s="2">
        <f t="shared" si="7"/>
        <v>97.104000000000013</v>
      </c>
      <c r="N18" s="2">
        <f t="shared" si="8"/>
        <v>103.10400000000001</v>
      </c>
    </row>
    <row r="19" spans="1:14" x14ac:dyDescent="0.25">
      <c r="A19" s="1" t="s">
        <v>19</v>
      </c>
      <c r="B19">
        <v>14</v>
      </c>
      <c r="C19" s="2">
        <f t="shared" si="0"/>
        <v>100.80000000000001</v>
      </c>
      <c r="D19" s="2">
        <f t="shared" si="1"/>
        <v>100.80000000000001</v>
      </c>
      <c r="E19" s="2">
        <f t="shared" si="2"/>
        <v>100.80000000000001</v>
      </c>
      <c r="F19" s="2">
        <f t="shared" si="3"/>
        <v>25401.600000000006</v>
      </c>
      <c r="G19" s="2">
        <f t="shared" si="4"/>
        <v>1814.4</v>
      </c>
      <c r="H19" s="2">
        <f>SUM(D19*A19)</f>
        <v>1814.4</v>
      </c>
      <c r="I19" s="2">
        <f t="shared" si="5"/>
        <v>1814.4</v>
      </c>
      <c r="K19">
        <v>10</v>
      </c>
      <c r="L19" s="2">
        <f t="shared" si="6"/>
        <v>6</v>
      </c>
      <c r="M19" s="2">
        <f t="shared" si="7"/>
        <v>108.86400000000002</v>
      </c>
      <c r="N19" s="2">
        <f t="shared" si="8"/>
        <v>114.86400000000002</v>
      </c>
    </row>
    <row r="20" spans="1:14" x14ac:dyDescent="0.25">
      <c r="A20" s="1" t="s">
        <v>20</v>
      </c>
      <c r="B20">
        <v>14</v>
      </c>
      <c r="C20" s="2">
        <f t="shared" si="0"/>
        <v>106.4</v>
      </c>
      <c r="D20" s="2">
        <f t="shared" si="1"/>
        <v>106.4</v>
      </c>
      <c r="E20" s="2">
        <f t="shared" si="2"/>
        <v>106.4</v>
      </c>
      <c r="F20" s="2">
        <f t="shared" si="3"/>
        <v>28302.400000000001</v>
      </c>
      <c r="G20" s="2">
        <f t="shared" si="4"/>
        <v>2021.6000000000001</v>
      </c>
      <c r="H20" s="2">
        <f>SUM(D20*A20)</f>
        <v>2021.6000000000001</v>
      </c>
      <c r="I20" s="2">
        <f t="shared" si="5"/>
        <v>2021.6000000000001</v>
      </c>
      <c r="K20">
        <v>10</v>
      </c>
      <c r="L20" s="2">
        <f t="shared" si="6"/>
        <v>6</v>
      </c>
      <c r="M20" s="2">
        <f t="shared" si="7"/>
        <v>121.29600000000001</v>
      </c>
      <c r="N20" s="2">
        <f t="shared" si="8"/>
        <v>127.29600000000001</v>
      </c>
    </row>
    <row r="21" spans="1:14" x14ac:dyDescent="0.25">
      <c r="A21" s="1" t="s">
        <v>21</v>
      </c>
      <c r="B21">
        <v>14</v>
      </c>
      <c r="C21" s="2">
        <f t="shared" si="0"/>
        <v>112.00000000000001</v>
      </c>
      <c r="D21" s="2">
        <f t="shared" si="1"/>
        <v>112.00000000000001</v>
      </c>
      <c r="E21" s="2">
        <f t="shared" si="2"/>
        <v>112.00000000000001</v>
      </c>
      <c r="F21" s="2">
        <f>SUM(B21*C21*A21)</f>
        <v>31360.000000000004</v>
      </c>
      <c r="G21" s="2">
        <f t="shared" si="4"/>
        <v>2240.0000000000005</v>
      </c>
      <c r="H21" s="2">
        <f>SUM(D21*A21)</f>
        <v>2240.0000000000005</v>
      </c>
      <c r="I21" s="2">
        <f t="shared" si="5"/>
        <v>2240.0000000000005</v>
      </c>
      <c r="K21">
        <v>10</v>
      </c>
      <c r="L21" s="2">
        <f t="shared" si="6"/>
        <v>6</v>
      </c>
      <c r="M21" s="2">
        <f t="shared" si="7"/>
        <v>134.40000000000003</v>
      </c>
      <c r="N21" s="2">
        <f t="shared" si="8"/>
        <v>140.40000000000003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PolariSystem</dc:creator>
  <cp:lastModifiedBy>PolariSystem</cp:lastModifiedBy>
  <dcterms:created xsi:type="dcterms:W3CDTF">2023-04-04T18:25:37Z</dcterms:created>
  <dcterms:modified xsi:type="dcterms:W3CDTF">2023-04-04T19:42:34Z</dcterms:modified>
</cp:coreProperties>
</file>